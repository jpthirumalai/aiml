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/>
  <mc:AlternateContent xmlns:mc="http://schemas.openxmlformats.org/markup-compatibility/2006">
    <mc:Choice Requires="x15">
      <x15ac:absPath xmlns:x15ac="http://schemas.microsoft.com/office/spreadsheetml/2010/11/ac" url="C:\Users\Sulekha Aloorravi\Downloads\DileepV\AIML_B1\Module6 - Recommendation Systems\Week 2-RS\Mentor\"/>
    </mc:Choice>
  </mc:AlternateContent>
  <xr:revisionPtr revIDLastSave="0" documentId="13_ncr:1_{1B262438-5CF0-49A4-B545-A701BC1B74B1}" xr6:coauthVersionLast="45" xr6:coauthVersionMax="45" xr10:uidLastSave="{00000000-0000-0000-0000-000000000000}"/>
  <bookViews>
    <workbookView xWindow="-110" yWindow="-110" windowWidth="19420" windowHeight="10560" activeTab="3" xr2:uid="{00000000-000D-0000-FFFF-FFFF00000000}"/>
  </bookViews>
  <sheets>
    <sheet name="UserBased" sheetId="1" r:id="rId1"/>
    <sheet name="ItemBased" sheetId="2" r:id="rId2"/>
    <sheet name="sparse" sheetId="3" r:id="rId3"/>
    <sheet name="Distance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1" l="1"/>
  <c r="I22" i="1"/>
  <c r="J21" i="1"/>
  <c r="I21" i="1"/>
  <c r="J20" i="1"/>
  <c r="I20" i="1"/>
  <c r="J19" i="1"/>
  <c r="I19" i="1"/>
  <c r="J7" i="2"/>
  <c r="I7" i="2"/>
  <c r="J6" i="2"/>
  <c r="I6" i="2"/>
  <c r="J5" i="2"/>
  <c r="I5" i="2"/>
  <c r="J4" i="2"/>
  <c r="I4" i="2"/>
  <c r="J5" i="1"/>
  <c r="J6" i="1"/>
  <c r="J7" i="1"/>
  <c r="J4" i="1"/>
  <c r="I5" i="1"/>
  <c r="I6" i="1"/>
  <c r="I7" i="1"/>
  <c r="I4" i="1"/>
</calcChain>
</file>

<file path=xl/sharedStrings.xml><?xml version="1.0" encoding="utf-8"?>
<sst xmlns="http://schemas.openxmlformats.org/spreadsheetml/2006/main" count="46" uniqueCount="12">
  <si>
    <t>iphone</t>
  </si>
  <si>
    <t>phonecase</t>
  </si>
  <si>
    <t>screenguard</t>
  </si>
  <si>
    <t>kindle</t>
  </si>
  <si>
    <t>ipad</t>
  </si>
  <si>
    <t>Euclidean</t>
  </si>
  <si>
    <t>Cosine</t>
  </si>
  <si>
    <t>Son</t>
  </si>
  <si>
    <t>Father</t>
  </si>
  <si>
    <t>Wife</t>
  </si>
  <si>
    <t>Daughter-1</t>
  </si>
  <si>
    <t>Daughter-2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</si>
</sst>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171450</xdr:colOff>
      <xdr:row>26</xdr:row>
      <xdr:rowOff>155511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6877050" cy="49180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22"/>
  <sheetViews>
    <sheetView showGridLines="0" topLeftCell="A10" zoomScale="175" zoomScaleNormal="175" workbookViewId="0">
      <selection activeCell="B18" sqref="B18:B22"/>
    </sheetView>
  </sheetViews>
  <sheetFormatPr defaultRowHeight="14.5" x14ac:dyDescent="0.35"/>
  <cols>
    <col min="2" max="2" width="10.1796875" bestFit="1" customWidth="1"/>
    <col min="3" max="3" width="7.26953125" bestFit="1" customWidth="1"/>
    <col min="4" max="4" width="10.54296875" bestFit="1" customWidth="1"/>
    <col min="5" max="5" width="11.81640625" bestFit="1" customWidth="1"/>
    <col min="6" max="6" width="6.54296875" bestFit="1" customWidth="1"/>
    <col min="7" max="7" width="4.81640625" bestFit="1" customWidth="1"/>
    <col min="9" max="9" width="9.54296875" bestFit="1" customWidth="1"/>
  </cols>
  <sheetData>
    <row r="2" spans="2:10" x14ac:dyDescent="0.35">
      <c r="C2" t="s">
        <v>0</v>
      </c>
      <c r="D2" t="s">
        <v>1</v>
      </c>
      <c r="E2" t="s">
        <v>2</v>
      </c>
      <c r="F2" t="s">
        <v>3</v>
      </c>
      <c r="G2" t="s">
        <v>4</v>
      </c>
      <c r="I2" t="s">
        <v>5</v>
      </c>
      <c r="J2" t="s">
        <v>6</v>
      </c>
    </row>
    <row r="3" spans="2:10" x14ac:dyDescent="0.35">
      <c r="B3" t="s">
        <v>9</v>
      </c>
      <c r="C3" s="1">
        <v>2</v>
      </c>
      <c r="D3" s="1">
        <v>4</v>
      </c>
      <c r="E3" s="1">
        <v>3</v>
      </c>
      <c r="F3" s="1">
        <v>0</v>
      </c>
      <c r="G3" s="1">
        <v>0</v>
      </c>
    </row>
    <row r="4" spans="2:10" x14ac:dyDescent="0.35">
      <c r="B4" t="s">
        <v>8</v>
      </c>
      <c r="C4" s="1">
        <v>1</v>
      </c>
      <c r="D4" s="1">
        <v>5</v>
      </c>
      <c r="E4" s="1">
        <v>2</v>
      </c>
      <c r="F4" s="1">
        <v>1</v>
      </c>
      <c r="G4" s="1">
        <v>0</v>
      </c>
      <c r="I4">
        <f>SQRT(($C$3-C4)^2 + ($D$3-D4)^2 + ($E$3-E4)^2+($F$3-F4)^2+($G$3-G4)^2)</f>
        <v>2</v>
      </c>
      <c r="J4">
        <f>(($C$3*C4) + ($D$3*D4)+($E$3*E4)+($F$3*F4)+($G$3*G4))/(SUM($C$3^2,$D$3^2,$E$3^2,$F$3^2,$F$3^2,$G$3^2)*SUM(C4^2,D4^2,E4^2,F4^2,G4^2))</f>
        <v>3.114571746384872E-2</v>
      </c>
    </row>
    <row r="5" spans="2:10" x14ac:dyDescent="0.35">
      <c r="B5" t="s">
        <v>7</v>
      </c>
      <c r="C5" s="1">
        <v>3</v>
      </c>
      <c r="D5" s="1">
        <v>5</v>
      </c>
      <c r="E5" s="1">
        <v>3</v>
      </c>
      <c r="F5" s="1">
        <v>0</v>
      </c>
      <c r="G5" s="1">
        <v>1</v>
      </c>
      <c r="I5">
        <f t="shared" ref="I5:I7" si="0">SQRT(($C$3-C5)^2 + ($D$3-D5)^2 + ($E$3-E5)^2+($F$3-F5)^2+($G$3-G5)^2)</f>
        <v>1.7320508075688772</v>
      </c>
      <c r="J5">
        <f t="shared" ref="J5:J7" si="1">(($C$3*C5) + ($D$3*D5)+($E$3*E5)+($F$3*F5)+($G$3*G5))/(SUM($C$3^2,$D$3^2,$E$3^2,$F$3^2,$F$3^2,$G$3^2)*SUM(C5^2,D5^2,E5^2,F5^2,G5^2))</f>
        <v>2.7429467084639499E-2</v>
      </c>
    </row>
    <row r="6" spans="2:10" x14ac:dyDescent="0.35">
      <c r="B6" t="s">
        <v>10</v>
      </c>
      <c r="C6" s="1">
        <v>5</v>
      </c>
      <c r="D6" s="1">
        <v>5</v>
      </c>
      <c r="E6" s="1">
        <v>5</v>
      </c>
      <c r="F6" s="1">
        <v>1</v>
      </c>
      <c r="G6" s="1">
        <v>2</v>
      </c>
      <c r="I6">
        <f t="shared" si="0"/>
        <v>4.358898943540674</v>
      </c>
      <c r="J6" s="2">
        <f t="shared" si="1"/>
        <v>1.9396551724137932E-2</v>
      </c>
    </row>
    <row r="7" spans="2:10" x14ac:dyDescent="0.35">
      <c r="B7" t="s">
        <v>11</v>
      </c>
      <c r="C7" s="1">
        <v>4</v>
      </c>
      <c r="D7" s="1">
        <v>5</v>
      </c>
      <c r="E7" s="1">
        <v>6</v>
      </c>
      <c r="F7" s="1">
        <v>0</v>
      </c>
      <c r="G7" s="1">
        <v>1</v>
      </c>
      <c r="I7">
        <f t="shared" si="0"/>
        <v>3.872983346207417</v>
      </c>
      <c r="J7">
        <f t="shared" si="1"/>
        <v>2.0335985853227233E-2</v>
      </c>
    </row>
    <row r="17" spans="2:10" x14ac:dyDescent="0.35">
      <c r="C17" t="s">
        <v>0</v>
      </c>
      <c r="D17" t="s">
        <v>1</v>
      </c>
      <c r="E17" t="s">
        <v>2</v>
      </c>
      <c r="F17" t="s">
        <v>3</v>
      </c>
      <c r="G17" t="s">
        <v>4</v>
      </c>
      <c r="I17" t="s">
        <v>5</v>
      </c>
      <c r="J17" t="s">
        <v>6</v>
      </c>
    </row>
    <row r="18" spans="2:10" x14ac:dyDescent="0.35">
      <c r="B18" t="s">
        <v>9</v>
      </c>
      <c r="C18" s="1">
        <v>1</v>
      </c>
      <c r="D18" s="1">
        <v>1</v>
      </c>
      <c r="E18" s="1">
        <v>1</v>
      </c>
      <c r="F18" s="1">
        <v>0</v>
      </c>
      <c r="G18" s="1">
        <v>0</v>
      </c>
    </row>
    <row r="19" spans="2:10" x14ac:dyDescent="0.35">
      <c r="B19" t="s">
        <v>8</v>
      </c>
      <c r="C19" s="1">
        <v>1</v>
      </c>
      <c r="D19" s="1">
        <v>1</v>
      </c>
      <c r="E19" s="1">
        <v>1</v>
      </c>
      <c r="F19" s="1">
        <v>1</v>
      </c>
      <c r="G19" s="1">
        <v>0</v>
      </c>
      <c r="I19">
        <f>SQRT(($C$3-C19)^2 + ($D$3-D19)^2 + ($E$3-E19)^2+($F$3-F19)^2+($G$3-G19)^2)</f>
        <v>3.872983346207417</v>
      </c>
      <c r="J19">
        <f>(($C$3*C19) + ($D$3*D19)+($E$3*E19)+($F$3*F19)+($G$3*G19))/(SUM($C$3^2,$D$3^2,$E$3^2,$F$3^2,$F$3^2,$G$3^2)*SUM(C19^2,D19^2,E19^2,F19^2,G19^2))</f>
        <v>7.7586206896551727E-2</v>
      </c>
    </row>
    <row r="20" spans="2:10" x14ac:dyDescent="0.35">
      <c r="B20" t="s">
        <v>7</v>
      </c>
      <c r="C20" s="1">
        <v>1</v>
      </c>
      <c r="D20" s="1">
        <v>1</v>
      </c>
      <c r="E20" s="1">
        <v>1</v>
      </c>
      <c r="F20" s="1">
        <v>0</v>
      </c>
      <c r="G20" s="1">
        <v>1</v>
      </c>
      <c r="I20">
        <f t="shared" ref="I20:I22" si="2">SQRT(($C$3-C20)^2 + ($D$3-D20)^2 + ($E$3-E20)^2+($F$3-F20)^2+($G$3-G20)^2)</f>
        <v>3.872983346207417</v>
      </c>
      <c r="J20">
        <f t="shared" ref="J20:J22" si="3">(($C$3*C20) + ($D$3*D20)+($E$3*E20)+($F$3*F20)+($G$3*G20))/(SUM($C$3^2,$D$3^2,$E$3^2,$F$3^2,$F$3^2,$G$3^2)*SUM(C20^2,D20^2,E20^2,F20^2,G20^2))</f>
        <v>7.7586206896551727E-2</v>
      </c>
    </row>
    <row r="21" spans="2:10" x14ac:dyDescent="0.35">
      <c r="B21" t="s">
        <v>10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I21">
        <f t="shared" si="2"/>
        <v>4</v>
      </c>
      <c r="J21">
        <f t="shared" si="3"/>
        <v>6.2068965517241378E-2</v>
      </c>
    </row>
    <row r="22" spans="2:10" x14ac:dyDescent="0.35">
      <c r="B22" t="s">
        <v>11</v>
      </c>
      <c r="C22" s="1">
        <v>1</v>
      </c>
      <c r="D22" s="1">
        <v>1</v>
      </c>
      <c r="E22" s="1">
        <v>1</v>
      </c>
      <c r="F22" s="1">
        <v>0</v>
      </c>
      <c r="G22" s="1">
        <v>1</v>
      </c>
      <c r="I22">
        <f t="shared" si="2"/>
        <v>3.872983346207417</v>
      </c>
      <c r="J22">
        <f t="shared" si="3"/>
        <v>7.7586206896551727E-2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J14"/>
  <sheetViews>
    <sheetView showGridLines="0" zoomScale="175" zoomScaleNormal="175" workbookViewId="0">
      <selection activeCell="C2" sqref="C2:G2"/>
    </sheetView>
  </sheetViews>
  <sheetFormatPr defaultRowHeight="14.5" x14ac:dyDescent="0.35"/>
  <cols>
    <col min="1" max="1" width="4.08984375" customWidth="1"/>
    <col min="2" max="2" width="11.81640625" bestFit="1" customWidth="1"/>
    <col min="6" max="7" width="10.1796875" bestFit="1" customWidth="1"/>
  </cols>
  <sheetData>
    <row r="2" spans="2:10" x14ac:dyDescent="0.35">
      <c r="C2" t="s">
        <v>9</v>
      </c>
      <c r="D2" t="s">
        <v>8</v>
      </c>
      <c r="E2" t="s">
        <v>7</v>
      </c>
      <c r="F2" t="s">
        <v>10</v>
      </c>
      <c r="G2" t="s">
        <v>11</v>
      </c>
      <c r="I2" t="s">
        <v>5</v>
      </c>
      <c r="J2" t="s">
        <v>6</v>
      </c>
    </row>
    <row r="3" spans="2:10" x14ac:dyDescent="0.35">
      <c r="B3" t="s">
        <v>0</v>
      </c>
      <c r="C3" s="1">
        <v>2</v>
      </c>
      <c r="D3" s="1">
        <v>1</v>
      </c>
      <c r="E3" s="1">
        <v>3</v>
      </c>
      <c r="F3" s="1">
        <v>5</v>
      </c>
      <c r="G3" s="1">
        <v>4</v>
      </c>
    </row>
    <row r="4" spans="2:10" x14ac:dyDescent="0.35">
      <c r="B4" t="s">
        <v>1</v>
      </c>
      <c r="C4" s="1">
        <v>4</v>
      </c>
      <c r="D4" s="1">
        <v>5</v>
      </c>
      <c r="E4" s="1">
        <v>5</v>
      </c>
      <c r="F4" s="1">
        <v>5</v>
      </c>
      <c r="G4" s="1">
        <v>5</v>
      </c>
      <c r="I4">
        <f>SQRT(($C$3-C4)^2 + ($D$3-D4)^2 + ($E$3-E4)^2+($F$3-F4)^2+($G$3-G4)^2)</f>
        <v>5</v>
      </c>
      <c r="J4">
        <f>(($C$3*C4) + ($D$3*D4)+($E$3*E4)+($F$3*F4)+($G$3*G4))/(SUM($C$3^2,$D$3^2,$E$3^2,$F$3^2,$F$3^2,$G$3^2)*SUM(C4^2,D4^2,E4^2,F4^2,G4^2))</f>
        <v>7.8663793103448277E-3</v>
      </c>
    </row>
    <row r="5" spans="2:10" x14ac:dyDescent="0.35">
      <c r="B5" t="s">
        <v>2</v>
      </c>
      <c r="C5" s="1">
        <v>3</v>
      </c>
      <c r="D5" s="1">
        <v>2</v>
      </c>
      <c r="E5" s="1">
        <v>3</v>
      </c>
      <c r="F5" s="1">
        <v>5</v>
      </c>
      <c r="G5" s="1">
        <v>6</v>
      </c>
      <c r="I5">
        <f t="shared" ref="I5:I7" si="0">SQRT(($C$3-C5)^2 + ($D$3-D5)^2 + ($E$3-E5)^2+($F$3-F5)^2+($G$3-G5)^2)</f>
        <v>2.4494897427831779</v>
      </c>
      <c r="J5">
        <f t="shared" ref="J5:J7" si="1">(($C$3*C5) + ($D$3*D5)+($E$3*E5)+($F$3*F5)+($G$3*G5))/(SUM($C$3^2,$D$3^2,$E$3^2,$F$3^2,$F$3^2,$G$3^2)*SUM(C5^2,D5^2,E5^2,F5^2,G5^2))</f>
        <v>9.939759036144578E-3</v>
      </c>
    </row>
    <row r="6" spans="2:10" x14ac:dyDescent="0.35">
      <c r="B6" t="s">
        <v>3</v>
      </c>
      <c r="C6" s="1">
        <v>0</v>
      </c>
      <c r="D6" s="1">
        <v>1</v>
      </c>
      <c r="E6" s="1">
        <v>0</v>
      </c>
      <c r="F6" s="1">
        <v>1</v>
      </c>
      <c r="G6" s="1">
        <v>0</v>
      </c>
      <c r="I6">
        <f t="shared" si="0"/>
        <v>6.7082039324993694</v>
      </c>
      <c r="J6">
        <f t="shared" si="1"/>
        <v>3.7499999999999999E-2</v>
      </c>
    </row>
    <row r="7" spans="2:10" x14ac:dyDescent="0.35">
      <c r="B7" t="s">
        <v>4</v>
      </c>
      <c r="C7" s="1">
        <v>0</v>
      </c>
      <c r="D7" s="1">
        <v>0</v>
      </c>
      <c r="E7" s="1">
        <v>1</v>
      </c>
      <c r="F7" s="1">
        <v>2</v>
      </c>
      <c r="G7" s="1">
        <v>1</v>
      </c>
      <c r="I7">
        <f t="shared" si="0"/>
        <v>5.196152422706632</v>
      </c>
      <c r="J7">
        <f t="shared" si="1"/>
        <v>3.5416666666666666E-2</v>
      </c>
    </row>
    <row r="10" spans="2:10" x14ac:dyDescent="0.35">
      <c r="C10" s="1"/>
      <c r="D10" s="1"/>
      <c r="E10" s="1"/>
      <c r="F10" s="1"/>
      <c r="G10" s="1"/>
    </row>
    <row r="11" spans="2:10" x14ac:dyDescent="0.35">
      <c r="C11" s="1"/>
      <c r="D11" s="1"/>
      <c r="E11" s="1"/>
      <c r="F11" s="1"/>
      <c r="G11" s="1"/>
    </row>
    <row r="12" spans="2:10" x14ac:dyDescent="0.35">
      <c r="C12" s="1"/>
      <c r="D12" s="1"/>
      <c r="E12" s="1"/>
      <c r="F12" s="1"/>
      <c r="G12" s="1"/>
    </row>
    <row r="13" spans="2:10" x14ac:dyDescent="0.35">
      <c r="C13" s="1"/>
      <c r="D13" s="1"/>
      <c r="E13" s="1"/>
      <c r="F13" s="1"/>
      <c r="G13" s="1"/>
    </row>
    <row r="14" spans="2:10" x14ac:dyDescent="0.35">
      <c r="C14" s="1"/>
      <c r="D14" s="1"/>
      <c r="E14" s="1"/>
      <c r="F14" s="1"/>
      <c r="G1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6"/>
  <sheetViews>
    <sheetView showGridLines="0" zoomScale="145" zoomScaleNormal="145" workbookViewId="0">
      <selection activeCell="E14" sqref="D14:E14"/>
    </sheetView>
  </sheetViews>
  <sheetFormatPr defaultRowHeight="14.5" x14ac:dyDescent="0.35"/>
  <cols>
    <col min="1" max="1" width="11.08984375" bestFit="1" customWidth="1"/>
  </cols>
  <sheetData>
    <row r="1" spans="1:6" x14ac:dyDescent="0.35">
      <c r="B1" t="s">
        <v>9</v>
      </c>
      <c r="C1" t="s">
        <v>8</v>
      </c>
      <c r="D1" t="s">
        <v>7</v>
      </c>
      <c r="E1" t="s">
        <v>10</v>
      </c>
      <c r="F1" t="s">
        <v>11</v>
      </c>
    </row>
    <row r="2" spans="1:6" x14ac:dyDescent="0.35">
      <c r="A2" t="s">
        <v>0</v>
      </c>
      <c r="B2" s="1">
        <v>1</v>
      </c>
      <c r="C2" s="1">
        <v>0</v>
      </c>
      <c r="D2" s="1">
        <v>0</v>
      </c>
      <c r="E2" s="1">
        <v>0</v>
      </c>
      <c r="F2" s="1">
        <v>0</v>
      </c>
    </row>
    <row r="3" spans="1:6" x14ac:dyDescent="0.35">
      <c r="A3" t="s">
        <v>1</v>
      </c>
      <c r="B3" s="1">
        <v>0</v>
      </c>
      <c r="C3" s="1">
        <v>0</v>
      </c>
      <c r="D3" s="1">
        <v>0</v>
      </c>
      <c r="E3" s="1">
        <v>0</v>
      </c>
      <c r="F3" s="1">
        <v>1</v>
      </c>
    </row>
    <row r="4" spans="1:6" x14ac:dyDescent="0.35">
      <c r="A4" t="s">
        <v>2</v>
      </c>
      <c r="B4" s="1">
        <v>0</v>
      </c>
      <c r="C4" s="1">
        <v>0</v>
      </c>
      <c r="D4" s="1">
        <v>1</v>
      </c>
      <c r="E4" s="1">
        <v>0</v>
      </c>
      <c r="F4" s="1">
        <v>0</v>
      </c>
    </row>
    <row r="5" spans="1:6" x14ac:dyDescent="0.35">
      <c r="A5" t="s">
        <v>3</v>
      </c>
      <c r="B5" s="1">
        <v>0</v>
      </c>
      <c r="C5" s="1">
        <v>1</v>
      </c>
      <c r="D5" s="1">
        <v>0</v>
      </c>
      <c r="E5" s="1">
        <v>0</v>
      </c>
      <c r="F5" s="1">
        <v>0</v>
      </c>
    </row>
    <row r="6" spans="1:6" x14ac:dyDescent="0.35">
      <c r="A6" t="s">
        <v>4</v>
      </c>
      <c r="B6" s="1">
        <v>0</v>
      </c>
      <c r="C6" s="1">
        <v>0</v>
      </c>
      <c r="D6" s="1">
        <v>0</v>
      </c>
      <c r="E6" s="1">
        <v>1</v>
      </c>
      <c r="F6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showGridLines="0" tabSelected="1" workbookViewId="0">
      <selection activeCell="O10" sqref="O10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UserBased</vt:lpstr>
      <vt:lpstr>ItemBased</vt:lpstr>
      <vt:lpstr>sparse</vt:lpstr>
      <vt:lpstr>Distances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Dileep Vuppaladhadiam</dc:creator>
  <cp:lastModifiedBy>Sulekha Aloorravi</cp:lastModifiedBy>
  <dcterms:created xsi:type="dcterms:W3CDTF">2019-12-21T15:44:10Z</dcterms:created>
  <dcterms:modified xsi:type="dcterms:W3CDTF">2019-12-22T05:10:57Z</dcterms:modified>
</cp:coreProperties>
</file>